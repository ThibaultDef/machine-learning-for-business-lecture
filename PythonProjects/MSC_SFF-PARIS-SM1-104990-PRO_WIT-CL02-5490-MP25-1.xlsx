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false" name="page\x2dtotal" vbProcedure="false">Sheet1!$A$27</definedName>
    <definedName function="false" hidden="false" name="page\x2dtotal\x2dmaster0" vbProcedure="false">Sheet1!$A$27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<sst xmlns="http://schemas.openxmlformats.org/spreadsheetml/2006/main" count="313" uniqueCount="120">
  <si>
    <t xml:space="preserve">Class Number</t>
  </si>
  <si>
    <t xml:space="preserve">EMPLID</t>
  </si>
  <si>
    <t xml:space="preserve">Last Name</t>
  </si>
  <si>
    <t xml:space="preserve">First Name</t>
  </si>
  <si>
    <t xml:space="preserve">Grade</t>
  </si>
  <si>
    <t xml:space="preserve">Grading Basis</t>
  </si>
  <si>
    <t xml:space="preserve">Grading Type</t>
  </si>
  <si>
    <t xml:space="preserve">Course Name</t>
  </si>
  <si>
    <t xml:space="preserve">Student Email Address</t>
  </si>
  <si>
    <t xml:space="preserve">Professor Name</t>
  </si>
  <si>
    <t xml:space="preserve">Professor SKEMA Email Address</t>
  </si>
  <si>
    <t xml:space="preserve">ID Professor</t>
  </si>
  <si>
    <t xml:space="preserve">Program Student</t>
  </si>
  <si>
    <t xml:space="preserve">5490 </t>
  </si>
  <si>
    <t xml:space="preserve">0298646</t>
  </si>
  <si>
    <t xml:space="preserve">BOUFFANT</t>
  </si>
  <si>
    <t xml:space="preserve">Victor</t>
  </si>
  <si>
    <t xml:space="preserve">Graded 0,0-20,0 Scale</t>
  </si>
  <si>
    <t xml:space="preserve">Final Grade</t>
  </si>
  <si>
    <t xml:space="preserve">Programming with Python II</t>
  </si>
  <si>
    <t xml:space="preserve">VICTOR.BOUFFANT@SKEMA.EDU</t>
  </si>
  <si>
    <t xml:space="preserve">PETRECZKY Mihaly</t>
  </si>
  <si>
    <t xml:space="preserve">MIHALY.PETRECZKY-EXT@SKEMA.EDU</t>
  </si>
  <si>
    <t xml:space="preserve">0304010</t>
  </si>
  <si>
    <t xml:space="preserve">MSc DESMI2 Sustainable Finance &amp; Fintech</t>
  </si>
  <si>
    <t xml:space="preserve">0306738</t>
  </si>
  <si>
    <t xml:space="preserve">BRUNI</t>
  </si>
  <si>
    <t xml:space="preserve">Killian</t>
  </si>
  <si>
    <t xml:space="preserve">KILLIAN.BRUNI@SKEMA.EDU</t>
  </si>
  <si>
    <t xml:space="preserve">0301756</t>
  </si>
  <si>
    <t xml:space="preserve">CAO</t>
  </si>
  <si>
    <t xml:space="preserve">Ranjie</t>
  </si>
  <si>
    <t xml:space="preserve">RANJIE.CAO@SKEMA.EDU</t>
  </si>
  <si>
    <t xml:space="preserve">0302146</t>
  </si>
  <si>
    <t xml:space="preserve">CHENG</t>
  </si>
  <si>
    <t xml:space="preserve">Christian</t>
  </si>
  <si>
    <t xml:space="preserve">CHRISTIAN.CHENG@SKEMA.EDU</t>
  </si>
  <si>
    <t xml:space="preserve">0298605</t>
  </si>
  <si>
    <t xml:space="preserve">DOMPIÉTRINI</t>
  </si>
  <si>
    <t xml:space="preserve">Célia</t>
  </si>
  <si>
    <t xml:space="preserve">CELIA.DOMPIETRINI@SKEMA.EDU</t>
  </si>
  <si>
    <t xml:space="preserve">0306801</t>
  </si>
  <si>
    <t xml:space="preserve">ER-RAJI</t>
  </si>
  <si>
    <t xml:space="preserve">Zainab</t>
  </si>
  <si>
    <t xml:space="preserve">ZAINAB.ERRAJI@SKEMA.EDU</t>
  </si>
  <si>
    <t xml:space="preserve">0306066</t>
  </si>
  <si>
    <t xml:space="preserve">GRECO</t>
  </si>
  <si>
    <t xml:space="preserve">Thelma</t>
  </si>
  <si>
    <t xml:space="preserve">THELMA.GRECO@SKEMA.EDU</t>
  </si>
  <si>
    <t xml:space="preserve">PGE M2 MSc Sustainable Finance &amp; Fintech</t>
  </si>
  <si>
    <t xml:space="preserve">0307144</t>
  </si>
  <si>
    <t xml:space="preserve">KLOUZ</t>
  </si>
  <si>
    <t xml:space="preserve">Mehdi</t>
  </si>
  <si>
    <t xml:space="preserve">MEHDI.KLOUZ@SKEMA.EDU</t>
  </si>
  <si>
    <t xml:space="preserve">0295792</t>
  </si>
  <si>
    <t xml:space="preserve">LI</t>
  </si>
  <si>
    <t xml:space="preserve">Qiuyan</t>
  </si>
  <si>
    <t xml:space="preserve">QIUYAN.LI@SKEMA.EDU</t>
  </si>
  <si>
    <t xml:space="preserve">0297762</t>
  </si>
  <si>
    <t xml:space="preserve">Ruixuan</t>
  </si>
  <si>
    <t xml:space="preserve">RUIXUAN.LI@SKEMA.EDU</t>
  </si>
  <si>
    <t xml:space="preserve">0298661</t>
  </si>
  <si>
    <t xml:space="preserve">Zuer</t>
  </si>
  <si>
    <t xml:space="preserve">ZUER.LI@SKEMA.EDU</t>
  </si>
  <si>
    <t xml:space="preserve">0297910</t>
  </si>
  <si>
    <t xml:space="preserve">LIU</t>
  </si>
  <si>
    <t xml:space="preserve">Yipan</t>
  </si>
  <si>
    <t xml:space="preserve">YIPAN.LIU@SKEMA.EDU</t>
  </si>
  <si>
    <t xml:space="preserve">0300577</t>
  </si>
  <si>
    <t xml:space="preserve">LUONG</t>
  </si>
  <si>
    <t xml:space="preserve">Thi Lan Hue</t>
  </si>
  <si>
    <t xml:space="preserve">LUONG.LUONG@SKEMA.EDU</t>
  </si>
  <si>
    <t xml:space="preserve">0298378</t>
  </si>
  <si>
    <t xml:space="preserve">MALGRANGE</t>
  </si>
  <si>
    <t xml:space="preserve">Vincent</t>
  </si>
  <si>
    <t xml:space="preserve">VINCENT.MALGRANGE@SKEMA.EDU</t>
  </si>
  <si>
    <t xml:space="preserve">0299172</t>
  </si>
  <si>
    <t xml:space="preserve">MBOULOU</t>
  </si>
  <si>
    <t xml:space="preserve">Loane</t>
  </si>
  <si>
    <t xml:space="preserve">LOANE.MBOULOU@SKEMA.EDU</t>
  </si>
  <si>
    <t xml:space="preserve">0303125</t>
  </si>
  <si>
    <t xml:space="preserve">ORANGE</t>
  </si>
  <si>
    <t xml:space="preserve">Angélick</t>
  </si>
  <si>
    <t xml:space="preserve">ANGELICK.ORANGE@SKEMA.EDU</t>
  </si>
  <si>
    <t xml:space="preserve">0303040</t>
  </si>
  <si>
    <t xml:space="preserve">PAQUET</t>
  </si>
  <si>
    <t xml:space="preserve">Alexandre</t>
  </si>
  <si>
    <t xml:space="preserve">ALEXANDRE.PAQUET@SKEMA.EDU</t>
  </si>
  <si>
    <t xml:space="preserve">0295124</t>
  </si>
  <si>
    <t xml:space="preserve">RIOUFRAYS--LAPLACE</t>
  </si>
  <si>
    <t xml:space="preserve">Léo</t>
  </si>
  <si>
    <t xml:space="preserve">LEO.RIOUFRAYSLAPLACE@SKEMA.EDU</t>
  </si>
  <si>
    <t xml:space="preserve">0304132</t>
  </si>
  <si>
    <t xml:space="preserve">ROUSTEAU</t>
  </si>
  <si>
    <t xml:space="preserve">Florine</t>
  </si>
  <si>
    <t xml:space="preserve">FLORINE.ROUSTEAU@SKEMA.EDU</t>
  </si>
  <si>
    <t xml:space="preserve">0304328</t>
  </si>
  <si>
    <t xml:space="preserve">SZYMONIAK</t>
  </si>
  <si>
    <t xml:space="preserve">Lana</t>
  </si>
  <si>
    <t xml:space="preserve">LANA.SZYMONIAK@SKEMA.EDU</t>
  </si>
  <si>
    <t xml:space="preserve">0300031</t>
  </si>
  <si>
    <t xml:space="preserve">TEXIER</t>
  </si>
  <si>
    <t xml:space="preserve">Mailys</t>
  </si>
  <si>
    <t xml:space="preserve">MAILYS.TEXIER@SKEMA.EDU</t>
  </si>
  <si>
    <t xml:space="preserve">0304279</t>
  </si>
  <si>
    <t xml:space="preserve">TOURTELIER</t>
  </si>
  <si>
    <t xml:space="preserve">Anouk</t>
  </si>
  <si>
    <t xml:space="preserve">ANOUK.TOURTELIER@SKEMA.EDU</t>
  </si>
  <si>
    <t xml:space="preserve">0297782</t>
  </si>
  <si>
    <t xml:space="preserve">WU</t>
  </si>
  <si>
    <t xml:space="preserve">Jingyan</t>
  </si>
  <si>
    <t xml:space="preserve">JINGYAN.WU@SKEMA.EDU</t>
  </si>
  <si>
    <t xml:space="preserve">0303324</t>
  </si>
  <si>
    <t xml:space="preserve">YILMAZ</t>
  </si>
  <si>
    <t xml:space="preserve">Maxime</t>
  </si>
  <si>
    <t xml:space="preserve">MAXIME.YILMAZ@SKEMA.EDU</t>
  </si>
  <si>
    <t xml:space="preserve">0298973</t>
  </si>
  <si>
    <t xml:space="preserve">ZHANG</t>
  </si>
  <si>
    <t xml:space="preserve">Ruge</t>
  </si>
  <si>
    <t xml:space="preserve">RUGE.ZHANG@SKEMA.EDU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</si>
</sst>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0" fillId="0" borderId="1" xfId="0" applyFont="false" applyBorder="true" applyAlignment="true" applyProtection="true">
      <alignment horizontal="left" vertical="center" textRotation="0" wrapText="true" indent="0" shrinkToFit="false"/>
      <protection locked="false" hidden="false"/>
    </xf>
    <xf numFmtId="164" fontId="0" fillId="0" borderId="0" xfId="0" applyFont="fals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1" activeCellId="0" sqref="O1"/>
    </sheetView>
  </sheetViews>
  <sheetFormatPr defaultColWidth="9.18359375" defaultRowHeight="15" zeroHeight="false" outlineLevelRow="0" outlineLevelCol="0"/>
  <cols>
    <col collapsed="false" customWidth="true" hidden="false" outlineLevel="0" max="1" min="1" style="0" width="15.29"/>
    <col collapsed="false" customWidth="true" hidden="false" outlineLevel="0" max="3" min="3" style="0" width="12.14"/>
    <col collapsed="false" customWidth="true" hidden="false" outlineLevel="0" max="4" min="4" style="0" width="14.43"/>
    <col collapsed="false" customWidth="true" hidden="false" outlineLevel="0" max="5" min="5" style="0" width="8.4"/>
    <col collapsed="false" customWidth="true" hidden="false" outlineLevel="0" max="6" min="6" style="0" width="21.29"/>
    <col collapsed="false" customWidth="true" hidden="false" outlineLevel="0" max="7" min="7" style="0" width="13.7"/>
    <col collapsed="false" customWidth="true" hidden="false" outlineLevel="0" max="8" min="8" style="0" width="35"/>
    <col collapsed="false" customWidth="true" hidden="false" outlineLevel="0" max="9" min="9" style="0" width="28.14"/>
    <col collapsed="false" customWidth="true" hidden="false" outlineLevel="0" max="10" min="10" style="0" width="22.14"/>
    <col collapsed="false" customWidth="true" hidden="false" outlineLevel="0" max="11" min="11" style="0" width="29.71"/>
    <col collapsed="false" customWidth="true" hidden="false" outlineLevel="0" max="12" min="12" style="0" width="13.02"/>
    <col collapsed="false" customWidth="true" hidden="false" outlineLevel="0" max="13" min="13" style="0" width="34.29"/>
    <col collapsed="false" customWidth="true" hidden="false" outlineLevel="0" max="14" min="14" style="0" width="12.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</row>
    <row r="2" customFormat="false" ht="24.05" hidden="false" customHeight="false" outlineLevel="0" collapsed="false">
      <c r="A2" s="1" t="s">
        <v>13</v>
      </c>
      <c r="B2" s="1" t="s">
        <v>14</v>
      </c>
      <c r="C2" s="1" t="s">
        <v>15</v>
      </c>
      <c r="D2" s="1" t="s">
        <v>16</v>
      </c>
      <c r="E2" s="4" t="n">
        <f aca="false">14</f>
        <v>14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2" t="s">
        <v>24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</row>
    <row r="3" customFormat="false" ht="24.05" hidden="false" customHeight="false" outlineLevel="0" collapsed="false">
      <c r="A3" s="1" t="s">
        <v>13</v>
      </c>
      <c r="B3" s="1" t="s">
        <v>25</v>
      </c>
      <c r="C3" s="1" t="s">
        <v>26</v>
      </c>
      <c r="D3" s="1" t="s">
        <v>27</v>
      </c>
      <c r="E3" s="4" t="n">
        <f aca="false">20</f>
        <v>20</v>
      </c>
      <c r="F3" s="1" t="s">
        <v>17</v>
      </c>
      <c r="G3" s="1" t="s">
        <v>18</v>
      </c>
      <c r="H3" s="1" t="s">
        <v>19</v>
      </c>
      <c r="I3" s="1" t="s">
        <v>28</v>
      </c>
      <c r="J3" s="1" t="s">
        <v>21</v>
      </c>
      <c r="K3" s="1" t="s">
        <v>22</v>
      </c>
      <c r="L3" s="1" t="s">
        <v>23</v>
      </c>
      <c r="M3" s="2" t="s">
        <v>24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</row>
    <row r="4" customFormat="false" ht="24.05" hidden="false" customHeight="false" outlineLevel="0" collapsed="false">
      <c r="A4" s="1" t="s">
        <v>13</v>
      </c>
      <c r="B4" s="1" t="s">
        <v>29</v>
      </c>
      <c r="C4" s="1" t="s">
        <v>30</v>
      </c>
      <c r="D4" s="1" t="s">
        <v>31</v>
      </c>
      <c r="E4" s="4" t="n">
        <f aca="false">20</f>
        <v>20</v>
      </c>
      <c r="F4" s="1" t="s">
        <v>17</v>
      </c>
      <c r="G4" s="1" t="s">
        <v>18</v>
      </c>
      <c r="H4" s="1" t="s">
        <v>19</v>
      </c>
      <c r="I4" s="1" t="s">
        <v>32</v>
      </c>
      <c r="J4" s="1" t="s">
        <v>21</v>
      </c>
      <c r="K4" s="1" t="s">
        <v>22</v>
      </c>
      <c r="L4" s="1" t="s">
        <v>23</v>
      </c>
      <c r="M4" s="2" t="s">
        <v>24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</row>
    <row r="5" customFormat="false" ht="24.05" hidden="false" customHeight="false" outlineLevel="0" collapsed="false">
      <c r="A5" s="1" t="s">
        <v>13</v>
      </c>
      <c r="B5" s="1" t="s">
        <v>33</v>
      </c>
      <c r="C5" s="1" t="s">
        <v>34</v>
      </c>
      <c r="D5" s="1" t="s">
        <v>35</v>
      </c>
      <c r="E5" s="4" t="n">
        <f aca="false">17</f>
        <v>17</v>
      </c>
      <c r="F5" s="1" t="s">
        <v>17</v>
      </c>
      <c r="G5" s="1" t="s">
        <v>18</v>
      </c>
      <c r="H5" s="1" t="s">
        <v>19</v>
      </c>
      <c r="I5" s="1" t="s">
        <v>36</v>
      </c>
      <c r="J5" s="1" t="s">
        <v>21</v>
      </c>
      <c r="K5" s="1" t="s">
        <v>22</v>
      </c>
      <c r="L5" s="1" t="s">
        <v>23</v>
      </c>
      <c r="M5" s="2" t="s">
        <v>24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</row>
    <row r="6" customFormat="false" ht="24.05" hidden="false" customHeight="false" outlineLevel="0" collapsed="false">
      <c r="A6" s="1" t="s">
        <v>13</v>
      </c>
      <c r="B6" s="1" t="s">
        <v>37</v>
      </c>
      <c r="C6" s="1" t="s">
        <v>38</v>
      </c>
      <c r="D6" s="1" t="s">
        <v>39</v>
      </c>
      <c r="E6" s="4" t="n">
        <f aca="false">20</f>
        <v>20</v>
      </c>
      <c r="F6" s="1" t="s">
        <v>17</v>
      </c>
      <c r="G6" s="1" t="s">
        <v>18</v>
      </c>
      <c r="H6" s="1" t="s">
        <v>19</v>
      </c>
      <c r="I6" s="1" t="s">
        <v>40</v>
      </c>
      <c r="J6" s="1" t="s">
        <v>21</v>
      </c>
      <c r="K6" s="1" t="s">
        <v>22</v>
      </c>
      <c r="L6" s="1" t="s">
        <v>23</v>
      </c>
      <c r="M6" s="2" t="s">
        <v>24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</row>
    <row r="7" customFormat="false" ht="24.05" hidden="false" customHeight="false" outlineLevel="0" collapsed="false">
      <c r="A7" s="1" t="s">
        <v>13</v>
      </c>
      <c r="B7" s="1" t="s">
        <v>41</v>
      </c>
      <c r="C7" s="1" t="s">
        <v>42</v>
      </c>
      <c r="D7" s="1" t="s">
        <v>43</v>
      </c>
      <c r="E7" s="4" t="n">
        <f aca="false">20</f>
        <v>20</v>
      </c>
      <c r="F7" s="1" t="s">
        <v>17</v>
      </c>
      <c r="G7" s="1" t="s">
        <v>18</v>
      </c>
      <c r="H7" s="1" t="s">
        <v>19</v>
      </c>
      <c r="I7" s="1" t="s">
        <v>44</v>
      </c>
      <c r="J7" s="1" t="s">
        <v>21</v>
      </c>
      <c r="K7" s="1" t="s">
        <v>22</v>
      </c>
      <c r="L7" s="1" t="s">
        <v>23</v>
      </c>
      <c r="M7" s="2" t="s">
        <v>24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</row>
    <row r="8" customFormat="false" ht="24.05" hidden="false" customHeight="false" outlineLevel="0" collapsed="false">
      <c r="A8" s="1" t="s">
        <v>13</v>
      </c>
      <c r="B8" s="1" t="s">
        <v>45</v>
      </c>
      <c r="C8" s="1" t="s">
        <v>46</v>
      </c>
      <c r="D8" s="1" t="s">
        <v>47</v>
      </c>
      <c r="E8" s="4" t="n">
        <f aca="false">19</f>
        <v>19</v>
      </c>
      <c r="F8" s="1" t="s">
        <v>17</v>
      </c>
      <c r="G8" s="1" t="s">
        <v>18</v>
      </c>
      <c r="H8" s="1" t="s">
        <v>19</v>
      </c>
      <c r="I8" s="1" t="s">
        <v>48</v>
      </c>
      <c r="J8" s="1" t="s">
        <v>21</v>
      </c>
      <c r="K8" s="1" t="s">
        <v>22</v>
      </c>
      <c r="L8" s="1" t="s">
        <v>23</v>
      </c>
      <c r="M8" s="2" t="s">
        <v>49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</row>
    <row r="9" customFormat="false" ht="24.05" hidden="false" customHeight="false" outlineLevel="0" collapsed="false">
      <c r="A9" s="1" t="s">
        <v>13</v>
      </c>
      <c r="B9" s="1" t="s">
        <v>50</v>
      </c>
      <c r="C9" s="1" t="s">
        <v>51</v>
      </c>
      <c r="D9" s="1" t="s">
        <v>52</v>
      </c>
      <c r="E9" s="4" t="n">
        <f aca="false">20</f>
        <v>20</v>
      </c>
      <c r="F9" s="1" t="s">
        <v>17</v>
      </c>
      <c r="G9" s="1" t="s">
        <v>18</v>
      </c>
      <c r="H9" s="1" t="s">
        <v>19</v>
      </c>
      <c r="I9" s="1" t="s">
        <v>53</v>
      </c>
      <c r="J9" s="1" t="s">
        <v>21</v>
      </c>
      <c r="K9" s="1" t="s">
        <v>22</v>
      </c>
      <c r="L9" s="1" t="s">
        <v>23</v>
      </c>
      <c r="M9" s="2" t="s">
        <v>24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</row>
    <row r="10" customFormat="false" ht="24.05" hidden="false" customHeight="false" outlineLevel="0" collapsed="false">
      <c r="A10" s="1" t="s">
        <v>13</v>
      </c>
      <c r="B10" s="1" t="s">
        <v>54</v>
      </c>
      <c r="C10" s="1" t="s">
        <v>55</v>
      </c>
      <c r="D10" s="1" t="s">
        <v>56</v>
      </c>
      <c r="E10" s="4" t="n">
        <f aca="false">18</f>
        <v>18</v>
      </c>
      <c r="F10" s="1" t="s">
        <v>17</v>
      </c>
      <c r="G10" s="1" t="s">
        <v>18</v>
      </c>
      <c r="H10" s="1" t="s">
        <v>19</v>
      </c>
      <c r="I10" s="1" t="s">
        <v>57</v>
      </c>
      <c r="J10" s="1" t="s">
        <v>21</v>
      </c>
      <c r="K10" s="1" t="s">
        <v>22</v>
      </c>
      <c r="L10" s="1" t="s">
        <v>23</v>
      </c>
      <c r="M10" s="2" t="s">
        <v>24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</row>
    <row r="11" customFormat="false" ht="24.05" hidden="false" customHeight="false" outlineLevel="0" collapsed="false">
      <c r="A11" s="1" t="s">
        <v>13</v>
      </c>
      <c r="B11" s="1" t="s">
        <v>58</v>
      </c>
      <c r="C11" s="1" t="s">
        <v>55</v>
      </c>
      <c r="D11" s="1" t="s">
        <v>59</v>
      </c>
      <c r="E11" s="4" t="n">
        <f aca="false">18</f>
        <v>18</v>
      </c>
      <c r="F11" s="1" t="s">
        <v>17</v>
      </c>
      <c r="G11" s="1" t="s">
        <v>18</v>
      </c>
      <c r="H11" s="1" t="s">
        <v>19</v>
      </c>
      <c r="I11" s="1" t="s">
        <v>60</v>
      </c>
      <c r="J11" s="1" t="s">
        <v>21</v>
      </c>
      <c r="K11" s="1" t="s">
        <v>22</v>
      </c>
      <c r="L11" s="1" t="s">
        <v>23</v>
      </c>
      <c r="M11" s="2" t="s">
        <v>24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</row>
    <row r="12" customFormat="false" ht="24.05" hidden="false" customHeight="false" outlineLevel="0" collapsed="false">
      <c r="A12" s="1" t="s">
        <v>13</v>
      </c>
      <c r="B12" s="1" t="s">
        <v>61</v>
      </c>
      <c r="C12" s="1" t="s">
        <v>55</v>
      </c>
      <c r="D12" s="1" t="s">
        <v>62</v>
      </c>
      <c r="E12" s="4" t="n">
        <f aca="false">18</f>
        <v>18</v>
      </c>
      <c r="F12" s="1" t="s">
        <v>17</v>
      </c>
      <c r="G12" s="1" t="s">
        <v>18</v>
      </c>
      <c r="H12" s="1" t="s">
        <v>19</v>
      </c>
      <c r="I12" s="1" t="s">
        <v>63</v>
      </c>
      <c r="J12" s="1" t="s">
        <v>21</v>
      </c>
      <c r="K12" s="1" t="s">
        <v>22</v>
      </c>
      <c r="L12" s="1" t="s">
        <v>23</v>
      </c>
      <c r="M12" s="2" t="s">
        <v>24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</row>
    <row r="13" customFormat="false" ht="24.05" hidden="false" customHeight="false" outlineLevel="0" collapsed="false">
      <c r="A13" s="1" t="s">
        <v>13</v>
      </c>
      <c r="B13" s="1" t="s">
        <v>64</v>
      </c>
      <c r="C13" s="1" t="s">
        <v>65</v>
      </c>
      <c r="D13" s="1" t="s">
        <v>66</v>
      </c>
      <c r="E13" s="4" t="n">
        <f aca="false">18</f>
        <v>18</v>
      </c>
      <c r="F13" s="1" t="s">
        <v>17</v>
      </c>
      <c r="G13" s="1" t="s">
        <v>18</v>
      </c>
      <c r="H13" s="1" t="s">
        <v>19</v>
      </c>
      <c r="I13" s="1" t="s">
        <v>67</v>
      </c>
      <c r="J13" s="1" t="s">
        <v>21</v>
      </c>
      <c r="K13" s="1" t="s">
        <v>22</v>
      </c>
      <c r="L13" s="1" t="s">
        <v>23</v>
      </c>
      <c r="M13" s="2" t="s">
        <v>24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</row>
    <row r="14" customFormat="false" ht="24.05" hidden="false" customHeight="false" outlineLevel="0" collapsed="false">
      <c r="A14" s="1" t="s">
        <v>13</v>
      </c>
      <c r="B14" s="1" t="s">
        <v>68</v>
      </c>
      <c r="C14" s="1" t="s">
        <v>69</v>
      </c>
      <c r="D14" s="1" t="s">
        <v>70</v>
      </c>
      <c r="E14" s="4" t="n">
        <f aca="false">18</f>
        <v>18</v>
      </c>
      <c r="F14" s="1" t="s">
        <v>17</v>
      </c>
      <c r="G14" s="1" t="s">
        <v>18</v>
      </c>
      <c r="H14" s="1" t="s">
        <v>19</v>
      </c>
      <c r="I14" s="1" t="s">
        <v>71</v>
      </c>
      <c r="J14" s="1" t="s">
        <v>21</v>
      </c>
      <c r="K14" s="1" t="s">
        <v>22</v>
      </c>
      <c r="L14" s="1" t="s">
        <v>23</v>
      </c>
      <c r="M14" s="2" t="s">
        <v>24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</row>
    <row r="15" customFormat="false" ht="24.05" hidden="false" customHeight="false" outlineLevel="0" collapsed="false">
      <c r="A15" s="1" t="s">
        <v>13</v>
      </c>
      <c r="B15" s="1" t="s">
        <v>72</v>
      </c>
      <c r="C15" s="1" t="s">
        <v>73</v>
      </c>
      <c r="D15" s="1" t="s">
        <v>74</v>
      </c>
      <c r="E15" s="4" t="n">
        <f aca="false">14</f>
        <v>14</v>
      </c>
      <c r="F15" s="1" t="s">
        <v>17</v>
      </c>
      <c r="G15" s="1" t="s">
        <v>18</v>
      </c>
      <c r="H15" s="1" t="s">
        <v>19</v>
      </c>
      <c r="I15" s="1" t="s">
        <v>75</v>
      </c>
      <c r="J15" s="1" t="s">
        <v>21</v>
      </c>
      <c r="K15" s="1" t="s">
        <v>22</v>
      </c>
      <c r="L15" s="1" t="s">
        <v>23</v>
      </c>
      <c r="M15" s="2" t="s">
        <v>24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</row>
    <row r="16" customFormat="false" ht="24.05" hidden="false" customHeight="false" outlineLevel="0" collapsed="false">
      <c r="A16" s="1" t="s">
        <v>13</v>
      </c>
      <c r="B16" s="1" t="s">
        <v>76</v>
      </c>
      <c r="C16" s="1" t="s">
        <v>77</v>
      </c>
      <c r="D16" s="1" t="s">
        <v>78</v>
      </c>
      <c r="E16" s="4" t="n">
        <f aca="false">20</f>
        <v>20</v>
      </c>
      <c r="F16" s="1" t="s">
        <v>17</v>
      </c>
      <c r="G16" s="1" t="s">
        <v>18</v>
      </c>
      <c r="H16" s="1" t="s">
        <v>19</v>
      </c>
      <c r="I16" s="1" t="s">
        <v>79</v>
      </c>
      <c r="J16" s="1" t="s">
        <v>21</v>
      </c>
      <c r="K16" s="1" t="s">
        <v>22</v>
      </c>
      <c r="L16" s="1" t="s">
        <v>23</v>
      </c>
      <c r="M16" s="2" t="s">
        <v>24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</row>
    <row r="17" customFormat="false" ht="24.05" hidden="false" customHeight="false" outlineLevel="0" collapsed="false">
      <c r="A17" s="1" t="s">
        <v>13</v>
      </c>
      <c r="B17" s="1" t="s">
        <v>80</v>
      </c>
      <c r="C17" s="1" t="s">
        <v>81</v>
      </c>
      <c r="D17" s="1" t="s">
        <v>82</v>
      </c>
      <c r="E17" s="4" t="n">
        <f aca="false">19</f>
        <v>19</v>
      </c>
      <c r="F17" s="1" t="s">
        <v>17</v>
      </c>
      <c r="G17" s="1" t="s">
        <v>18</v>
      </c>
      <c r="H17" s="1" t="s">
        <v>19</v>
      </c>
      <c r="I17" s="1" t="s">
        <v>83</v>
      </c>
      <c r="J17" s="1" t="s">
        <v>21</v>
      </c>
      <c r="K17" s="1" t="s">
        <v>22</v>
      </c>
      <c r="L17" s="1" t="s">
        <v>23</v>
      </c>
      <c r="M17" s="2" t="s">
        <v>49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</row>
    <row r="18" customFormat="false" ht="24.05" hidden="false" customHeight="false" outlineLevel="0" collapsed="false">
      <c r="A18" s="1" t="s">
        <v>13</v>
      </c>
      <c r="B18" s="1" t="s">
        <v>84</v>
      </c>
      <c r="C18" s="1" t="s">
        <v>85</v>
      </c>
      <c r="D18" s="1" t="s">
        <v>86</v>
      </c>
      <c r="E18" s="4" t="n">
        <f aca="false">17</f>
        <v>17</v>
      </c>
      <c r="F18" s="1" t="s">
        <v>17</v>
      </c>
      <c r="G18" s="1" t="s">
        <v>18</v>
      </c>
      <c r="H18" s="1" t="s">
        <v>19</v>
      </c>
      <c r="I18" s="1" t="s">
        <v>87</v>
      </c>
      <c r="J18" s="1" t="s">
        <v>21</v>
      </c>
      <c r="K18" s="1" t="s">
        <v>22</v>
      </c>
      <c r="L18" s="1" t="s">
        <v>23</v>
      </c>
      <c r="M18" s="2" t="s">
        <v>49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</row>
    <row r="19" customFormat="false" ht="24.05" hidden="false" customHeight="false" outlineLevel="0" collapsed="false">
      <c r="A19" s="1" t="s">
        <v>13</v>
      </c>
      <c r="B19" s="1" t="s">
        <v>88</v>
      </c>
      <c r="C19" s="1" t="s">
        <v>89</v>
      </c>
      <c r="D19" s="1" t="s">
        <v>90</v>
      </c>
      <c r="E19" s="4" t="n">
        <f aca="false">14</f>
        <v>14</v>
      </c>
      <c r="F19" s="1" t="s">
        <v>17</v>
      </c>
      <c r="G19" s="1" t="s">
        <v>18</v>
      </c>
      <c r="H19" s="1" t="s">
        <v>19</v>
      </c>
      <c r="I19" s="1" t="s">
        <v>91</v>
      </c>
      <c r="J19" s="1" t="s">
        <v>21</v>
      </c>
      <c r="K19" s="1" t="s">
        <v>22</v>
      </c>
      <c r="L19" s="1" t="s">
        <v>23</v>
      </c>
      <c r="M19" s="2" t="s">
        <v>24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</row>
    <row r="20" customFormat="false" ht="24.05" hidden="false" customHeight="false" outlineLevel="0" collapsed="false">
      <c r="A20" s="1" t="s">
        <v>13</v>
      </c>
      <c r="B20" s="1" t="s">
        <v>92</v>
      </c>
      <c r="C20" s="1" t="s">
        <v>93</v>
      </c>
      <c r="D20" s="1" t="s">
        <v>94</v>
      </c>
      <c r="E20" s="4" t="n">
        <f aca="false">14</f>
        <v>14</v>
      </c>
      <c r="F20" s="1" t="s">
        <v>17</v>
      </c>
      <c r="G20" s="1" t="s">
        <v>18</v>
      </c>
      <c r="H20" s="1" t="s">
        <v>19</v>
      </c>
      <c r="I20" s="1" t="s">
        <v>95</v>
      </c>
      <c r="J20" s="1" t="s">
        <v>21</v>
      </c>
      <c r="K20" s="1" t="s">
        <v>22</v>
      </c>
      <c r="L20" s="1" t="s">
        <v>23</v>
      </c>
      <c r="M20" s="2" t="s">
        <v>49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</row>
    <row r="21" customFormat="false" ht="24.05" hidden="false" customHeight="false" outlineLevel="0" collapsed="false">
      <c r="A21" s="1" t="s">
        <v>13</v>
      </c>
      <c r="B21" s="1" t="s">
        <v>96</v>
      </c>
      <c r="C21" s="1" t="s">
        <v>97</v>
      </c>
      <c r="D21" s="1" t="s">
        <v>98</v>
      </c>
      <c r="E21" s="4" t="n">
        <f aca="false">14</f>
        <v>14</v>
      </c>
      <c r="F21" s="1" t="s">
        <v>17</v>
      </c>
      <c r="G21" s="1" t="s">
        <v>18</v>
      </c>
      <c r="H21" s="1" t="s">
        <v>19</v>
      </c>
      <c r="I21" s="1" t="s">
        <v>99</v>
      </c>
      <c r="J21" s="1" t="s">
        <v>21</v>
      </c>
      <c r="K21" s="1" t="s">
        <v>22</v>
      </c>
      <c r="L21" s="1" t="s">
        <v>23</v>
      </c>
      <c r="M21" s="2" t="s">
        <v>49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</row>
    <row r="22" customFormat="false" ht="24.05" hidden="false" customHeight="false" outlineLevel="0" collapsed="false">
      <c r="A22" s="1" t="s">
        <v>13</v>
      </c>
      <c r="B22" s="1" t="s">
        <v>100</v>
      </c>
      <c r="C22" s="1" t="s">
        <v>101</v>
      </c>
      <c r="D22" s="1" t="s">
        <v>102</v>
      </c>
      <c r="E22" s="4" t="n">
        <f aca="false">20</f>
        <v>20</v>
      </c>
      <c r="F22" s="1" t="s">
        <v>17</v>
      </c>
      <c r="G22" s="1" t="s">
        <v>18</v>
      </c>
      <c r="H22" s="1" t="s">
        <v>19</v>
      </c>
      <c r="I22" s="1" t="s">
        <v>103</v>
      </c>
      <c r="J22" s="1" t="s">
        <v>21</v>
      </c>
      <c r="K22" s="1" t="s">
        <v>22</v>
      </c>
      <c r="L22" s="1" t="s">
        <v>23</v>
      </c>
      <c r="M22" s="2" t="s">
        <v>24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</row>
    <row r="23" customFormat="false" ht="24.05" hidden="false" customHeight="false" outlineLevel="0" collapsed="false">
      <c r="A23" s="1" t="s">
        <v>13</v>
      </c>
      <c r="B23" s="1" t="s">
        <v>104</v>
      </c>
      <c r="C23" s="1" t="s">
        <v>105</v>
      </c>
      <c r="D23" s="1" t="s">
        <v>106</v>
      </c>
      <c r="E23" s="4" t="n">
        <f aca="false">14</f>
        <v>14</v>
      </c>
      <c r="F23" s="1" t="s">
        <v>17</v>
      </c>
      <c r="G23" s="1" t="s">
        <v>18</v>
      </c>
      <c r="H23" s="1" t="s">
        <v>19</v>
      </c>
      <c r="I23" s="1" t="s">
        <v>107</v>
      </c>
      <c r="J23" s="1" t="s">
        <v>21</v>
      </c>
      <c r="K23" s="1" t="s">
        <v>22</v>
      </c>
      <c r="L23" s="1" t="s">
        <v>23</v>
      </c>
      <c r="M23" s="2" t="s">
        <v>49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</row>
    <row r="24" customFormat="false" ht="24.05" hidden="false" customHeight="false" outlineLevel="0" collapsed="false">
      <c r="A24" s="1" t="s">
        <v>13</v>
      </c>
      <c r="B24" s="1" t="s">
        <v>108</v>
      </c>
      <c r="C24" s="1" t="s">
        <v>109</v>
      </c>
      <c r="D24" s="1" t="s">
        <v>110</v>
      </c>
      <c r="E24" s="4" t="n">
        <f aca="false">18</f>
        <v>18</v>
      </c>
      <c r="F24" s="1" t="s">
        <v>17</v>
      </c>
      <c r="G24" s="1" t="s">
        <v>18</v>
      </c>
      <c r="H24" s="1" t="s">
        <v>19</v>
      </c>
      <c r="I24" s="1" t="s">
        <v>111</v>
      </c>
      <c r="J24" s="1" t="s">
        <v>21</v>
      </c>
      <c r="K24" s="1" t="s">
        <v>22</v>
      </c>
      <c r="L24" s="1" t="s">
        <v>23</v>
      </c>
      <c r="M24" s="2" t="s">
        <v>24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</row>
    <row r="25" customFormat="false" ht="24.05" hidden="false" customHeight="false" outlineLevel="0" collapsed="false">
      <c r="A25" s="1" t="s">
        <v>13</v>
      </c>
      <c r="B25" s="1" t="s">
        <v>112</v>
      </c>
      <c r="C25" s="1" t="s">
        <v>113</v>
      </c>
      <c r="D25" s="1" t="s">
        <v>114</v>
      </c>
      <c r="E25" s="4" t="n">
        <f aca="false">17</f>
        <v>17</v>
      </c>
      <c r="F25" s="1" t="s">
        <v>17</v>
      </c>
      <c r="G25" s="1" t="s">
        <v>18</v>
      </c>
      <c r="H25" s="1" t="s">
        <v>19</v>
      </c>
      <c r="I25" s="1" t="s">
        <v>115</v>
      </c>
      <c r="J25" s="1" t="s">
        <v>21</v>
      </c>
      <c r="K25" s="1" t="s">
        <v>22</v>
      </c>
      <c r="L25" s="1" t="s">
        <v>23</v>
      </c>
      <c r="M25" s="2" t="s">
        <v>49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</row>
    <row r="26" customFormat="false" ht="24.05" hidden="false" customHeight="false" outlineLevel="0" collapsed="false">
      <c r="A26" s="1" t="s">
        <v>13</v>
      </c>
      <c r="B26" s="1" t="s">
        <v>116</v>
      </c>
      <c r="C26" s="1" t="s">
        <v>117</v>
      </c>
      <c r="D26" s="1" t="s">
        <v>118</v>
      </c>
      <c r="E26" s="4" t="n">
        <f aca="false">20</f>
        <v>20</v>
      </c>
      <c r="F26" s="1" t="s">
        <v>17</v>
      </c>
      <c r="G26" s="1" t="s">
        <v>18</v>
      </c>
      <c r="H26" s="1" t="s">
        <v>19</v>
      </c>
      <c r="I26" s="1" t="s">
        <v>119</v>
      </c>
      <c r="J26" s="1" t="s">
        <v>21</v>
      </c>
      <c r="K26" s="1" t="s">
        <v>22</v>
      </c>
      <c r="L26" s="1" t="s">
        <v>23</v>
      </c>
      <c r="M26" s="2" t="s">
        <v>24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</row>
    <row r="27" customFormat="false" ht="15" hidden="false" customHeight="fals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</row>
    <row r="30" customFormat="false" ht="13.8" hidden="false" customHeight="false" outlineLevel="0" collapsed="false"/>
  </sheetData>
  <sheetProtection sheet="true" objects="true" scenarios="true"/>
  <mergeCells count="1">
    <mergeCell ref="A27:N27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Metadata/LabelInfo.xml><?xml version="1.0" encoding="utf-8"?>
<clbl:labelList xmlns:clbl="http://schemas.microsoft.com/office/2020/mipLabelMetadata">
  <clbl:label id="{9860db96-b53f-4bd7-8137-e09357cab268}" enabled="1" method="Standard" siteId="{b78d03e6-f6a2-4cff-83be-847d1a6453f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2024-12-12T16:45:47Z</dcterms:created>
  <dc:creator/>
  <dc:description/>
  <dc:language>en-GB</dc:language>
  <cp:lastModifiedBy/>
  <dcterms:modified xsi:type="dcterms:W3CDTF">2025-01-12T08:57:01Z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