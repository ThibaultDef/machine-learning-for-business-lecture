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page\x2dtotal" vbProcedure="false">Sheet1!$A$30</definedName>
    <definedName function="false" hidden="false" name="page\x2dtotal\x2dmaster0" vbProcedure="false">Sheet1!$A$30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<sst xmlns="http://schemas.openxmlformats.org/spreadsheetml/2006/main" count="349" uniqueCount="134">
  <si>
    <t xml:space="preserve">Class Number</t>
  </si>
  <si>
    <t xml:space="preserve">EMPLID</t>
  </si>
  <si>
    <t xml:space="preserve">Last Name</t>
  </si>
  <si>
    <t xml:space="preserve">First Name</t>
  </si>
  <si>
    <t xml:space="preserve">Grade</t>
  </si>
  <si>
    <t xml:space="preserve">Grading Basis</t>
  </si>
  <si>
    <t xml:space="preserve">Grading Type</t>
  </si>
  <si>
    <t xml:space="preserve">Course Name</t>
  </si>
  <si>
    <t xml:space="preserve">Student Email Address</t>
  </si>
  <si>
    <t xml:space="preserve">Professor Name</t>
  </si>
  <si>
    <t xml:space="preserve">Professor SKEMA Email Address</t>
  </si>
  <si>
    <t xml:space="preserve">ID Professor</t>
  </si>
  <si>
    <t xml:space="preserve">Program Student</t>
  </si>
  <si>
    <t xml:space="preserve">5489 </t>
  </si>
  <si>
    <t xml:space="preserve">0294573</t>
  </si>
  <si>
    <t xml:space="preserve">ACHARD</t>
  </si>
  <si>
    <t xml:space="preserve">Pierre</t>
  </si>
  <si>
    <t xml:space="preserve">Graded 0,0-20,0 Scale</t>
  </si>
  <si>
    <t xml:space="preserve">Final Grade</t>
  </si>
  <si>
    <t xml:space="preserve">Programming with Python II</t>
  </si>
  <si>
    <t xml:space="preserve">PIERRE.ACHARD@SKEMA.EDU</t>
  </si>
  <si>
    <t xml:space="preserve">PETRECZKY Mihaly</t>
  </si>
  <si>
    <t xml:space="preserve">MIHALY.PETRECZKY-EXT@SKEMA.EDU</t>
  </si>
  <si>
    <t xml:space="preserve">0304010</t>
  </si>
  <si>
    <t xml:space="preserve">MSc DESMI2 Sustainable Finance &amp; Fintech</t>
  </si>
  <si>
    <t xml:space="preserve">0305649</t>
  </si>
  <si>
    <t xml:space="preserve">ANILKUMAR</t>
  </si>
  <si>
    <t xml:space="preserve">Thanushree</t>
  </si>
  <si>
    <t xml:space="preserve">THANUSHREE.ANILKUMAR@SKEMA.EDU</t>
  </si>
  <si>
    <t xml:space="preserve">PGE M2 MSc Sustainable Finance &amp; Fintech</t>
  </si>
  <si>
    <t xml:space="preserve">0294726</t>
  </si>
  <si>
    <t xml:space="preserve">BALLEGI</t>
  </si>
  <si>
    <t xml:space="preserve">Fadi</t>
  </si>
  <si>
    <t xml:space="preserve">FADI.BALLEGI@SKEMA.EDU</t>
  </si>
  <si>
    <t xml:space="preserve">0271891</t>
  </si>
  <si>
    <t xml:space="preserve">BEN HASSINE</t>
  </si>
  <si>
    <t xml:space="preserve">Enzo</t>
  </si>
  <si>
    <t xml:space="preserve">ENZO.BENHASSINE@SKEMA.EDU</t>
  </si>
  <si>
    <t xml:space="preserve">0303761</t>
  </si>
  <si>
    <t xml:space="preserve">BENELGHAZI</t>
  </si>
  <si>
    <t xml:space="preserve">Anas</t>
  </si>
  <si>
    <t xml:space="preserve">ANAS.BENELGHAZI@SKEMA.EDU</t>
  </si>
  <si>
    <t xml:space="preserve">0274915</t>
  </si>
  <si>
    <t xml:space="preserve">CASELLI</t>
  </si>
  <si>
    <t xml:space="preserve">Clara</t>
  </si>
  <si>
    <t xml:space="preserve">CLARA.CASELLI@SKEMA.EDU</t>
  </si>
  <si>
    <t xml:space="preserve">0308686</t>
  </si>
  <si>
    <t xml:space="preserve">COTA HIGUERA</t>
  </si>
  <si>
    <t xml:space="preserve">Paulina</t>
  </si>
  <si>
    <t xml:space="preserve">PAULINA.COTAHIGUERA@SKEMA.EDU</t>
  </si>
  <si>
    <t xml:space="preserve">0294074</t>
  </si>
  <si>
    <t xml:space="preserve">COULIBALY</t>
  </si>
  <si>
    <t xml:space="preserve">Dioba Jordy</t>
  </si>
  <si>
    <t xml:space="preserve">DIOBAJORDY.COULIBALY@SKEMA.EDU</t>
  </si>
  <si>
    <t xml:space="preserve">0304218</t>
  </si>
  <si>
    <t xml:space="preserve">DAHAN</t>
  </si>
  <si>
    <t xml:space="preserve">Julie</t>
  </si>
  <si>
    <t xml:space="preserve">JULIE.DAHAN@SKEMA.EDU</t>
  </si>
  <si>
    <t xml:space="preserve">0290677</t>
  </si>
  <si>
    <t xml:space="preserve">DAMI</t>
  </si>
  <si>
    <t xml:space="preserve">Tommaso</t>
  </si>
  <si>
    <t xml:space="preserve">TOMMASO.DAMI@SKEMA.EDU</t>
  </si>
  <si>
    <t xml:space="preserve">0303589</t>
  </si>
  <si>
    <t xml:space="preserve">DULON</t>
  </si>
  <si>
    <t xml:space="preserve">Bettina</t>
  </si>
  <si>
    <t xml:space="preserve">BETTINA.DULON@SKEMA.EDU</t>
  </si>
  <si>
    <t xml:space="preserve">0308964</t>
  </si>
  <si>
    <t xml:space="preserve">DURAND</t>
  </si>
  <si>
    <t xml:space="preserve">Justin</t>
  </si>
  <si>
    <t xml:space="preserve">JUSTIN.DURAND@SKEMA.EDU</t>
  </si>
  <si>
    <t xml:space="preserve">0289829</t>
  </si>
  <si>
    <t xml:space="preserve">FAGUNDES</t>
  </si>
  <si>
    <t xml:space="preserve">Meygan</t>
  </si>
  <si>
    <t xml:space="preserve">MEYGAN.FAGUNDES@SKEMA.EDU</t>
  </si>
  <si>
    <t xml:space="preserve">0304265</t>
  </si>
  <si>
    <t xml:space="preserve">FAUROUX</t>
  </si>
  <si>
    <t xml:space="preserve">Hannah</t>
  </si>
  <si>
    <t xml:space="preserve">HANNAH.FAUROUX@SKEMA.EDU</t>
  </si>
  <si>
    <t xml:space="preserve">0294675</t>
  </si>
  <si>
    <t xml:space="preserve">GAO</t>
  </si>
  <si>
    <t xml:space="preserve">Yixin</t>
  </si>
  <si>
    <t xml:space="preserve">YIXIN.GAO@SKEMA.EDU</t>
  </si>
  <si>
    <t xml:space="preserve">0271863</t>
  </si>
  <si>
    <t xml:space="preserve">GAULTIER</t>
  </si>
  <si>
    <t xml:space="preserve">Luc</t>
  </si>
  <si>
    <t xml:space="preserve">LUC.GAULTIER@SKEMA.EDU</t>
  </si>
  <si>
    <t xml:space="preserve">0290587</t>
  </si>
  <si>
    <t xml:space="preserve">HE</t>
  </si>
  <si>
    <t xml:space="preserve">Chengjie</t>
  </si>
  <si>
    <t xml:space="preserve">CHENGJIE.HE@SKEMA.EDU</t>
  </si>
  <si>
    <t xml:space="preserve">0285140</t>
  </si>
  <si>
    <t xml:space="preserve">LU</t>
  </si>
  <si>
    <t xml:space="preserve">Xue</t>
  </si>
  <si>
    <t xml:space="preserve">XUE.LU@SKEMA.EDU</t>
  </si>
  <si>
    <t xml:space="preserve">0283665</t>
  </si>
  <si>
    <t xml:space="preserve">NGO</t>
  </si>
  <si>
    <t xml:space="preserve">Hong Anh</t>
  </si>
  <si>
    <t xml:space="preserve">HONGANH.NGO@SKEMA.EDU</t>
  </si>
  <si>
    <t xml:space="preserve">0308739</t>
  </si>
  <si>
    <t xml:space="preserve">PHAM</t>
  </si>
  <si>
    <t xml:space="preserve">Ngoc Quynh</t>
  </si>
  <si>
    <t xml:space="preserve">NGOCQUYNH.PHAM@SKEMA.EDU</t>
  </si>
  <si>
    <t xml:space="preserve">0290550</t>
  </si>
  <si>
    <t xml:space="preserve">QU</t>
  </si>
  <si>
    <t xml:space="preserve">Siyi</t>
  </si>
  <si>
    <t xml:space="preserve">SIYI.QU@SKEMA.EDU</t>
  </si>
  <si>
    <t xml:space="preserve">0297156</t>
  </si>
  <si>
    <t xml:space="preserve">RAJBHAR</t>
  </si>
  <si>
    <t xml:space="preserve">Rajneesh</t>
  </si>
  <si>
    <t xml:space="preserve">RAJNEESH.RAJBHAR@SKEMA.EDU</t>
  </si>
  <si>
    <t xml:space="preserve">0294667</t>
  </si>
  <si>
    <t xml:space="preserve">RIEDL</t>
  </si>
  <si>
    <t xml:space="preserve">Simon</t>
  </si>
  <si>
    <t xml:space="preserve">SIMON.RIEDL@SKEMA.EDU</t>
  </si>
  <si>
    <t xml:space="preserve">0269736</t>
  </si>
  <si>
    <t xml:space="preserve">SHAJU</t>
  </si>
  <si>
    <t xml:space="preserve">Angella Maria</t>
  </si>
  <si>
    <t xml:space="preserve">ANGELLAMARIA.SHAJU@SKEMA.EDU</t>
  </si>
  <si>
    <t xml:space="preserve">0283731</t>
  </si>
  <si>
    <t xml:space="preserve">TANG</t>
  </si>
  <si>
    <t xml:space="preserve">Pengfei</t>
  </si>
  <si>
    <t xml:space="preserve">PENGFEI.TANG@SKEMA.EDU</t>
  </si>
  <si>
    <t xml:space="preserve">0289591</t>
  </si>
  <si>
    <t xml:space="preserve">WENG</t>
  </si>
  <si>
    <t xml:space="preserve">Qianlei</t>
  </si>
  <si>
    <t xml:space="preserve">QIANLEI.WENG@SKEMA.EDU</t>
  </si>
  <si>
    <t xml:space="preserve">0294986</t>
  </si>
  <si>
    <t xml:space="preserve">WIDJAYA</t>
  </si>
  <si>
    <t xml:space="preserve">Jody Aria</t>
  </si>
  <si>
    <t xml:space="preserve">JODYARIA.WIDJAYA@SKEMA.EDU</t>
  </si>
  <si>
    <t xml:space="preserve">0289832</t>
  </si>
  <si>
    <t xml:space="preserve">ZHOU</t>
  </si>
  <si>
    <t xml:space="preserve">Haipeng</t>
  </si>
  <si>
    <t xml:space="preserve">HAIPENG.ZHOU@SKEMA.EDU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</si>
</sst>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30"/>
  <sheetViews>
    <sheetView showFormulas="false" showGridLines="fals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E28" activeCellId="0" sqref="E28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5.29"/>
    <col collapsed="false" customWidth="true" hidden="false" outlineLevel="0" max="3" min="3" style="0" width="12.14"/>
    <col collapsed="false" customWidth="true" hidden="false" outlineLevel="0" max="4" min="4" style="0" width="14.43"/>
    <col collapsed="false" customWidth="true" hidden="false" outlineLevel="0" max="5" min="5" style="0" width="8.41"/>
    <col collapsed="false" customWidth="true" hidden="false" outlineLevel="0" max="6" min="6" style="0" width="21.29"/>
    <col collapsed="false" customWidth="true" hidden="false" outlineLevel="0" max="7" min="7" style="0" width="13.7"/>
    <col collapsed="false" customWidth="true" hidden="false" outlineLevel="0" max="8" min="8" style="0" width="35"/>
    <col collapsed="false" customWidth="true" hidden="false" outlineLevel="0" max="9" min="9" style="0" width="28.14"/>
    <col collapsed="false" customWidth="true" hidden="false" outlineLevel="0" max="10" min="10" style="0" width="22.14"/>
    <col collapsed="false" customWidth="true" hidden="false" outlineLevel="0" max="11" min="11" style="0" width="29.71"/>
    <col collapsed="false" customWidth="true" hidden="false" outlineLevel="0" max="12" min="12" style="0" width="13.02"/>
    <col collapsed="false" customWidth="true" hidden="false" outlineLevel="0" max="13" min="13" style="0" width="34.29"/>
    <col collapsed="false" customWidth="true" hidden="false" outlineLevel="0" max="14" min="14" style="0" width="12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customFormat="false" ht="24.05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4" t="n">
        <f aca="false">16</f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2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customFormat="false" ht="24.05" hidden="false" customHeight="false" outlineLevel="0" collapsed="false">
      <c r="A3" s="1" t="s">
        <v>13</v>
      </c>
      <c r="B3" s="1" t="s">
        <v>25</v>
      </c>
      <c r="C3" s="1" t="s">
        <v>26</v>
      </c>
      <c r="D3" s="1" t="s">
        <v>27</v>
      </c>
      <c r="E3" s="4" t="n">
        <f aca="false">20</f>
        <v>20</v>
      </c>
      <c r="F3" s="1" t="s">
        <v>17</v>
      </c>
      <c r="G3" s="1" t="s">
        <v>18</v>
      </c>
      <c r="H3" s="1" t="s">
        <v>19</v>
      </c>
      <c r="I3" s="1" t="s">
        <v>28</v>
      </c>
      <c r="J3" s="1" t="s">
        <v>21</v>
      </c>
      <c r="K3" s="1" t="s">
        <v>22</v>
      </c>
      <c r="L3" s="1" t="s">
        <v>23</v>
      </c>
      <c r="M3" s="2" t="s">
        <v>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customFormat="false" ht="24.05" hidden="false" customHeight="false" outlineLevel="0" collapsed="false">
      <c r="A4" s="1" t="s">
        <v>13</v>
      </c>
      <c r="B4" s="1" t="s">
        <v>30</v>
      </c>
      <c r="C4" s="1" t="s">
        <v>31</v>
      </c>
      <c r="D4" s="1" t="s">
        <v>32</v>
      </c>
      <c r="E4" s="4" t="n">
        <f aca="false">19</f>
        <v>19</v>
      </c>
      <c r="F4" s="1" t="s">
        <v>17</v>
      </c>
      <c r="G4" s="1" t="s">
        <v>18</v>
      </c>
      <c r="H4" s="1" t="s">
        <v>19</v>
      </c>
      <c r="I4" s="1" t="s">
        <v>33</v>
      </c>
      <c r="J4" s="1" t="s">
        <v>21</v>
      </c>
      <c r="K4" s="1" t="s">
        <v>22</v>
      </c>
      <c r="L4" s="1" t="s">
        <v>23</v>
      </c>
      <c r="M4" s="2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customFormat="false" ht="24.05" hidden="false" customHeight="false" outlineLevel="0" collapsed="false">
      <c r="A5" s="1" t="s">
        <v>13</v>
      </c>
      <c r="B5" s="1" t="s">
        <v>34</v>
      </c>
      <c r="C5" s="1" t="s">
        <v>35</v>
      </c>
      <c r="D5" s="1" t="s">
        <v>36</v>
      </c>
      <c r="E5" s="4" t="n">
        <f aca="false">16</f>
        <v>16</v>
      </c>
      <c r="F5" s="1" t="s">
        <v>17</v>
      </c>
      <c r="G5" s="1" t="s">
        <v>18</v>
      </c>
      <c r="H5" s="1" t="s">
        <v>19</v>
      </c>
      <c r="I5" s="1" t="s">
        <v>37</v>
      </c>
      <c r="J5" s="1" t="s">
        <v>21</v>
      </c>
      <c r="K5" s="1" t="s">
        <v>22</v>
      </c>
      <c r="L5" s="1" t="s">
        <v>23</v>
      </c>
      <c r="M5" s="2" t="s">
        <v>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Format="false" ht="24.05" hidden="false" customHeight="false" outlineLevel="0" collapsed="false">
      <c r="A6" s="1" t="s">
        <v>13</v>
      </c>
      <c r="B6" s="1" t="s">
        <v>38</v>
      </c>
      <c r="C6" s="1" t="s">
        <v>39</v>
      </c>
      <c r="D6" s="1" t="s">
        <v>40</v>
      </c>
      <c r="E6" s="4" t="n">
        <f aca="false">18</f>
        <v>18</v>
      </c>
      <c r="F6" s="1" t="s">
        <v>17</v>
      </c>
      <c r="G6" s="1" t="s">
        <v>18</v>
      </c>
      <c r="H6" s="1" t="s">
        <v>19</v>
      </c>
      <c r="I6" s="1" t="s">
        <v>41</v>
      </c>
      <c r="J6" s="1" t="s">
        <v>21</v>
      </c>
      <c r="K6" s="1" t="s">
        <v>22</v>
      </c>
      <c r="L6" s="1" t="s">
        <v>23</v>
      </c>
      <c r="M6" s="2" t="s">
        <v>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customFormat="false" ht="24.05" hidden="false" customHeight="false" outlineLevel="0" collapsed="false">
      <c r="A7" s="1" t="s">
        <v>13</v>
      </c>
      <c r="B7" s="1" t="s">
        <v>42</v>
      </c>
      <c r="C7" s="1" t="s">
        <v>43</v>
      </c>
      <c r="D7" s="1" t="s">
        <v>44</v>
      </c>
      <c r="E7" s="4" t="n">
        <f aca="false">20</f>
        <v>20</v>
      </c>
      <c r="F7" s="1" t="s">
        <v>17</v>
      </c>
      <c r="G7" s="1" t="s">
        <v>18</v>
      </c>
      <c r="H7" s="1" t="s">
        <v>19</v>
      </c>
      <c r="I7" s="1" t="s">
        <v>45</v>
      </c>
      <c r="J7" s="1" t="s">
        <v>21</v>
      </c>
      <c r="K7" s="1" t="s">
        <v>22</v>
      </c>
      <c r="L7" s="1" t="s">
        <v>23</v>
      </c>
      <c r="M7" s="2" t="s">
        <v>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Format="false" ht="24.05" hidden="false" customHeight="false" outlineLevel="0" collapsed="false">
      <c r="A8" s="1" t="s">
        <v>13</v>
      </c>
      <c r="B8" s="1" t="s">
        <v>46</v>
      </c>
      <c r="C8" s="1" t="s">
        <v>47</v>
      </c>
      <c r="D8" s="1" t="s">
        <v>48</v>
      </c>
      <c r="E8" s="4" t="n">
        <f aca="false">18</f>
        <v>18</v>
      </c>
      <c r="F8" s="1" t="s">
        <v>17</v>
      </c>
      <c r="G8" s="1" t="s">
        <v>18</v>
      </c>
      <c r="H8" s="1" t="s">
        <v>19</v>
      </c>
      <c r="I8" s="1" t="s">
        <v>49</v>
      </c>
      <c r="J8" s="1" t="s">
        <v>21</v>
      </c>
      <c r="K8" s="1" t="s">
        <v>22</v>
      </c>
      <c r="L8" s="1" t="s">
        <v>23</v>
      </c>
      <c r="M8" s="2" t="s">
        <v>29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customFormat="false" ht="24.05" hidden="false" customHeight="false" outlineLevel="0" collapsed="false">
      <c r="A9" s="1" t="s">
        <v>13</v>
      </c>
      <c r="B9" s="1" t="s">
        <v>50</v>
      </c>
      <c r="C9" s="1" t="s">
        <v>51</v>
      </c>
      <c r="D9" s="1" t="s">
        <v>52</v>
      </c>
      <c r="E9" s="4" t="n">
        <f aca="false">18</f>
        <v>18</v>
      </c>
      <c r="F9" s="1" t="s">
        <v>17</v>
      </c>
      <c r="G9" s="1" t="s">
        <v>18</v>
      </c>
      <c r="H9" s="1" t="s">
        <v>19</v>
      </c>
      <c r="I9" s="1" t="s">
        <v>53</v>
      </c>
      <c r="J9" s="1" t="s">
        <v>21</v>
      </c>
      <c r="K9" s="1" t="s">
        <v>22</v>
      </c>
      <c r="L9" s="1" t="s">
        <v>23</v>
      </c>
      <c r="M9" s="2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customFormat="false" ht="24.05" hidden="false" customHeight="false" outlineLevel="0" collapsed="false">
      <c r="A10" s="1" t="s">
        <v>13</v>
      </c>
      <c r="B10" s="1" t="s">
        <v>54</v>
      </c>
      <c r="C10" s="1" t="s">
        <v>55</v>
      </c>
      <c r="D10" s="1" t="s">
        <v>56</v>
      </c>
      <c r="E10" s="4" t="n">
        <f aca="false">20</f>
        <v>20</v>
      </c>
      <c r="F10" s="1" t="s">
        <v>17</v>
      </c>
      <c r="G10" s="1" t="s">
        <v>18</v>
      </c>
      <c r="H10" s="1" t="s">
        <v>19</v>
      </c>
      <c r="I10" s="1" t="s">
        <v>57</v>
      </c>
      <c r="J10" s="1" t="s">
        <v>21</v>
      </c>
      <c r="K10" s="1" t="s">
        <v>22</v>
      </c>
      <c r="L10" s="1" t="s">
        <v>23</v>
      </c>
      <c r="M10" s="2" t="s">
        <v>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customFormat="false" ht="24.05" hidden="false" customHeight="false" outlineLevel="0" collapsed="false">
      <c r="A11" s="1" t="s">
        <v>13</v>
      </c>
      <c r="B11" s="1" t="s">
        <v>58</v>
      </c>
      <c r="C11" s="1" t="s">
        <v>59</v>
      </c>
      <c r="D11" s="1" t="s">
        <v>60</v>
      </c>
      <c r="E11" s="4" t="n">
        <f aca="false">20</f>
        <v>20</v>
      </c>
      <c r="F11" s="1" t="s">
        <v>17</v>
      </c>
      <c r="G11" s="1" t="s">
        <v>18</v>
      </c>
      <c r="H11" s="1" t="s">
        <v>19</v>
      </c>
      <c r="I11" s="1" t="s">
        <v>61</v>
      </c>
      <c r="J11" s="1" t="s">
        <v>21</v>
      </c>
      <c r="K11" s="1" t="s">
        <v>22</v>
      </c>
      <c r="L11" s="1" t="s">
        <v>23</v>
      </c>
      <c r="M11" s="2" t="s">
        <v>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customFormat="false" ht="24.05" hidden="false" customHeight="false" outlineLevel="0" collapsed="false">
      <c r="A12" s="1" t="s">
        <v>13</v>
      </c>
      <c r="B12" s="1" t="s">
        <v>62</v>
      </c>
      <c r="C12" s="1" t="s">
        <v>63</v>
      </c>
      <c r="D12" s="1" t="s">
        <v>64</v>
      </c>
      <c r="E12" s="4" t="n">
        <f aca="false">20</f>
        <v>20</v>
      </c>
      <c r="F12" s="1" t="s">
        <v>17</v>
      </c>
      <c r="G12" s="1" t="s">
        <v>18</v>
      </c>
      <c r="H12" s="1" t="s">
        <v>19</v>
      </c>
      <c r="I12" s="1" t="s">
        <v>65</v>
      </c>
      <c r="J12" s="1" t="s">
        <v>21</v>
      </c>
      <c r="K12" s="1" t="s">
        <v>22</v>
      </c>
      <c r="L12" s="1" t="s">
        <v>23</v>
      </c>
      <c r="M12" s="2" t="s">
        <v>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customFormat="false" ht="24.05" hidden="false" customHeight="false" outlineLevel="0" collapsed="false">
      <c r="A13" s="1" t="s">
        <v>13</v>
      </c>
      <c r="B13" s="1" t="s">
        <v>66</v>
      </c>
      <c r="C13" s="1" t="s">
        <v>67</v>
      </c>
      <c r="D13" s="1" t="s">
        <v>68</v>
      </c>
      <c r="E13" s="4" t="n">
        <f aca="false">19</f>
        <v>19</v>
      </c>
      <c r="F13" s="1" t="s">
        <v>17</v>
      </c>
      <c r="G13" s="1" t="s">
        <v>18</v>
      </c>
      <c r="H13" s="1" t="s">
        <v>19</v>
      </c>
      <c r="I13" s="1" t="s">
        <v>69</v>
      </c>
      <c r="J13" s="1" t="s">
        <v>21</v>
      </c>
      <c r="K13" s="1" t="s">
        <v>22</v>
      </c>
      <c r="L13" s="1" t="s">
        <v>23</v>
      </c>
      <c r="M13" s="2" t="s">
        <v>24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customFormat="false" ht="24.05" hidden="false" customHeight="false" outlineLevel="0" collapsed="false">
      <c r="A14" s="1" t="s">
        <v>13</v>
      </c>
      <c r="B14" s="1" t="s">
        <v>70</v>
      </c>
      <c r="C14" s="1" t="s">
        <v>71</v>
      </c>
      <c r="D14" s="1" t="s">
        <v>72</v>
      </c>
      <c r="E14" s="4" t="n">
        <f aca="false">16</f>
        <v>16</v>
      </c>
      <c r="F14" s="1" t="s">
        <v>17</v>
      </c>
      <c r="G14" s="1" t="s">
        <v>18</v>
      </c>
      <c r="H14" s="1" t="s">
        <v>19</v>
      </c>
      <c r="I14" s="1" t="s">
        <v>73</v>
      </c>
      <c r="J14" s="1" t="s">
        <v>21</v>
      </c>
      <c r="K14" s="1" t="s">
        <v>22</v>
      </c>
      <c r="L14" s="1" t="s">
        <v>23</v>
      </c>
      <c r="M14" s="2" t="s">
        <v>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customFormat="false" ht="24.05" hidden="false" customHeight="false" outlineLevel="0" collapsed="false">
      <c r="A15" s="1" t="s">
        <v>13</v>
      </c>
      <c r="B15" s="1" t="s">
        <v>74</v>
      </c>
      <c r="C15" s="1" t="s">
        <v>75</v>
      </c>
      <c r="D15" s="1" t="s">
        <v>76</v>
      </c>
      <c r="E15" s="4" t="n">
        <f aca="false">20</f>
        <v>20</v>
      </c>
      <c r="F15" s="1" t="s">
        <v>17</v>
      </c>
      <c r="G15" s="1" t="s">
        <v>18</v>
      </c>
      <c r="H15" s="1" t="s">
        <v>19</v>
      </c>
      <c r="I15" s="1" t="s">
        <v>77</v>
      </c>
      <c r="J15" s="1" t="s">
        <v>21</v>
      </c>
      <c r="K15" s="1" t="s">
        <v>22</v>
      </c>
      <c r="L15" s="1" t="s">
        <v>23</v>
      </c>
      <c r="M15" s="2" t="s">
        <v>29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customFormat="false" ht="24.05" hidden="false" customHeight="false" outlineLevel="0" collapsed="false">
      <c r="A16" s="1" t="s">
        <v>13</v>
      </c>
      <c r="B16" s="1" t="s">
        <v>78</v>
      </c>
      <c r="C16" s="1" t="s">
        <v>79</v>
      </c>
      <c r="D16" s="1" t="s">
        <v>80</v>
      </c>
      <c r="E16" s="4" t="n">
        <f aca="false">13</f>
        <v>13</v>
      </c>
      <c r="F16" s="1" t="s">
        <v>17</v>
      </c>
      <c r="G16" s="1" t="s">
        <v>18</v>
      </c>
      <c r="H16" s="1" t="s">
        <v>19</v>
      </c>
      <c r="I16" s="1" t="s">
        <v>81</v>
      </c>
      <c r="J16" s="1" t="s">
        <v>21</v>
      </c>
      <c r="K16" s="1" t="s">
        <v>22</v>
      </c>
      <c r="L16" s="1" t="s">
        <v>23</v>
      </c>
      <c r="M16" s="2" t="s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customFormat="false" ht="24.05" hidden="false" customHeight="false" outlineLevel="0" collapsed="false">
      <c r="A17" s="1" t="s">
        <v>13</v>
      </c>
      <c r="B17" s="1" t="s">
        <v>82</v>
      </c>
      <c r="C17" s="1" t="s">
        <v>83</v>
      </c>
      <c r="D17" s="1" t="s">
        <v>84</v>
      </c>
      <c r="E17" s="4" t="n">
        <f aca="false">18</f>
        <v>18</v>
      </c>
      <c r="F17" s="1" t="s">
        <v>17</v>
      </c>
      <c r="G17" s="1" t="s">
        <v>18</v>
      </c>
      <c r="H17" s="1" t="s">
        <v>19</v>
      </c>
      <c r="I17" s="1" t="s">
        <v>85</v>
      </c>
      <c r="J17" s="1" t="s">
        <v>21</v>
      </c>
      <c r="K17" s="1" t="s">
        <v>22</v>
      </c>
      <c r="L17" s="1" t="s">
        <v>23</v>
      </c>
      <c r="M17" s="2" t="s">
        <v>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customFormat="false" ht="24.05" hidden="false" customHeight="false" outlineLevel="0" collapsed="false">
      <c r="A18" s="1" t="s">
        <v>13</v>
      </c>
      <c r="B18" s="1" t="s">
        <v>86</v>
      </c>
      <c r="C18" s="1" t="s">
        <v>87</v>
      </c>
      <c r="D18" s="1" t="s">
        <v>88</v>
      </c>
      <c r="E18" s="4" t="n">
        <f aca="false">19</f>
        <v>19</v>
      </c>
      <c r="F18" s="1" t="s">
        <v>17</v>
      </c>
      <c r="G18" s="1" t="s">
        <v>18</v>
      </c>
      <c r="H18" s="1" t="s">
        <v>19</v>
      </c>
      <c r="I18" s="1" t="s">
        <v>89</v>
      </c>
      <c r="J18" s="1" t="s">
        <v>21</v>
      </c>
      <c r="K18" s="1" t="s">
        <v>22</v>
      </c>
      <c r="L18" s="1" t="s">
        <v>23</v>
      </c>
      <c r="M18" s="2" t="s">
        <v>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customFormat="false" ht="24.05" hidden="false" customHeight="false" outlineLevel="0" collapsed="false">
      <c r="A19" s="1" t="s">
        <v>13</v>
      </c>
      <c r="B19" s="1" t="s">
        <v>90</v>
      </c>
      <c r="C19" s="1" t="s">
        <v>91</v>
      </c>
      <c r="D19" s="1" t="s">
        <v>92</v>
      </c>
      <c r="E19" s="4" t="n">
        <f aca="false">13</f>
        <v>13</v>
      </c>
      <c r="F19" s="1" t="s">
        <v>17</v>
      </c>
      <c r="G19" s="1" t="s">
        <v>18</v>
      </c>
      <c r="H19" s="1" t="s">
        <v>19</v>
      </c>
      <c r="I19" s="1" t="s">
        <v>93</v>
      </c>
      <c r="J19" s="1" t="s">
        <v>21</v>
      </c>
      <c r="K19" s="1" t="s">
        <v>22</v>
      </c>
      <c r="L19" s="1" t="s">
        <v>23</v>
      </c>
      <c r="M19" s="2" t="s">
        <v>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customFormat="false" ht="24.05" hidden="false" customHeight="false" outlineLevel="0" collapsed="false">
      <c r="A20" s="1" t="s">
        <v>13</v>
      </c>
      <c r="B20" s="1" t="s">
        <v>94</v>
      </c>
      <c r="C20" s="1" t="s">
        <v>95</v>
      </c>
      <c r="D20" s="1" t="s">
        <v>96</v>
      </c>
      <c r="E20" s="4" t="n">
        <f aca="false">18</f>
        <v>18</v>
      </c>
      <c r="F20" s="1" t="s">
        <v>17</v>
      </c>
      <c r="G20" s="1" t="s">
        <v>18</v>
      </c>
      <c r="H20" s="1" t="s">
        <v>19</v>
      </c>
      <c r="I20" s="1" t="s">
        <v>97</v>
      </c>
      <c r="J20" s="1" t="s">
        <v>21</v>
      </c>
      <c r="K20" s="1" t="s">
        <v>22</v>
      </c>
      <c r="L20" s="1" t="s">
        <v>23</v>
      </c>
      <c r="M20" s="2" t="s">
        <v>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customFormat="false" ht="24.05" hidden="false" customHeight="false" outlineLevel="0" collapsed="false">
      <c r="A21" s="1" t="s">
        <v>13</v>
      </c>
      <c r="B21" s="1" t="s">
        <v>98</v>
      </c>
      <c r="C21" s="1" t="s">
        <v>99</v>
      </c>
      <c r="D21" s="1" t="s">
        <v>100</v>
      </c>
      <c r="E21" s="4" t="n">
        <f aca="false">20</f>
        <v>20</v>
      </c>
      <c r="F21" s="1" t="s">
        <v>17</v>
      </c>
      <c r="G21" s="1" t="s">
        <v>18</v>
      </c>
      <c r="H21" s="1" t="s">
        <v>19</v>
      </c>
      <c r="I21" s="1" t="s">
        <v>101</v>
      </c>
      <c r="J21" s="1" t="s">
        <v>21</v>
      </c>
      <c r="K21" s="1" t="s">
        <v>22</v>
      </c>
      <c r="L21" s="1" t="s">
        <v>23</v>
      </c>
      <c r="M21" s="2" t="s">
        <v>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customFormat="false" ht="24.05" hidden="false" customHeight="false" outlineLevel="0" collapsed="false">
      <c r="A22" s="1" t="s">
        <v>13</v>
      </c>
      <c r="B22" s="1" t="s">
        <v>102</v>
      </c>
      <c r="C22" s="1" t="s">
        <v>103</v>
      </c>
      <c r="D22" s="1" t="s">
        <v>104</v>
      </c>
      <c r="E22" s="4" t="n">
        <f aca="false">19</f>
        <v>19</v>
      </c>
      <c r="F22" s="1" t="s">
        <v>17</v>
      </c>
      <c r="G22" s="1" t="s">
        <v>18</v>
      </c>
      <c r="H22" s="1" t="s">
        <v>19</v>
      </c>
      <c r="I22" s="1" t="s">
        <v>105</v>
      </c>
      <c r="J22" s="1" t="s">
        <v>21</v>
      </c>
      <c r="K22" s="1" t="s">
        <v>22</v>
      </c>
      <c r="L22" s="1" t="s">
        <v>23</v>
      </c>
      <c r="M22" s="2" t="s">
        <v>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customFormat="false" ht="24.05" hidden="false" customHeight="false" outlineLevel="0" collapsed="false">
      <c r="A23" s="1" t="s">
        <v>13</v>
      </c>
      <c r="B23" s="1" t="s">
        <v>106</v>
      </c>
      <c r="C23" s="1" t="s">
        <v>107</v>
      </c>
      <c r="D23" s="1" t="s">
        <v>108</v>
      </c>
      <c r="E23" s="4" t="n">
        <f aca="false">19</f>
        <v>19</v>
      </c>
      <c r="F23" s="1" t="s">
        <v>17</v>
      </c>
      <c r="G23" s="1" t="s">
        <v>18</v>
      </c>
      <c r="H23" s="1" t="s">
        <v>19</v>
      </c>
      <c r="I23" s="1" t="s">
        <v>109</v>
      </c>
      <c r="J23" s="1" t="s">
        <v>21</v>
      </c>
      <c r="K23" s="1" t="s">
        <v>22</v>
      </c>
      <c r="L23" s="1" t="s">
        <v>23</v>
      </c>
      <c r="M23" s="2" t="s">
        <v>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customFormat="false" ht="24.05" hidden="false" customHeight="false" outlineLevel="0" collapsed="false">
      <c r="A24" s="1" t="s">
        <v>13</v>
      </c>
      <c r="B24" s="1" t="s">
        <v>110</v>
      </c>
      <c r="C24" s="1" t="s">
        <v>111</v>
      </c>
      <c r="D24" s="1" t="s">
        <v>112</v>
      </c>
      <c r="E24" s="4" t="n">
        <f aca="false">18</f>
        <v>18</v>
      </c>
      <c r="F24" s="1" t="s">
        <v>17</v>
      </c>
      <c r="G24" s="1" t="s">
        <v>18</v>
      </c>
      <c r="H24" s="1" t="s">
        <v>19</v>
      </c>
      <c r="I24" s="1" t="s">
        <v>113</v>
      </c>
      <c r="J24" s="1" t="s">
        <v>21</v>
      </c>
      <c r="K24" s="1" t="s">
        <v>22</v>
      </c>
      <c r="L24" s="1" t="s">
        <v>23</v>
      </c>
      <c r="M24" s="2" t="s">
        <v>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customFormat="false" ht="24.05" hidden="false" customHeight="false" outlineLevel="0" collapsed="false">
      <c r="A25" s="1" t="s">
        <v>13</v>
      </c>
      <c r="B25" s="1" t="s">
        <v>114</v>
      </c>
      <c r="C25" s="1" t="s">
        <v>115</v>
      </c>
      <c r="D25" s="1" t="s">
        <v>116</v>
      </c>
      <c r="E25" s="4" t="n">
        <f aca="false">20</f>
        <v>20</v>
      </c>
      <c r="F25" s="1" t="s">
        <v>17</v>
      </c>
      <c r="G25" s="1" t="s">
        <v>18</v>
      </c>
      <c r="H25" s="1" t="s">
        <v>19</v>
      </c>
      <c r="I25" s="1" t="s">
        <v>117</v>
      </c>
      <c r="J25" s="1" t="s">
        <v>21</v>
      </c>
      <c r="K25" s="1" t="s">
        <v>22</v>
      </c>
      <c r="L25" s="1" t="s">
        <v>23</v>
      </c>
      <c r="M25" s="2" t="s">
        <v>24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customFormat="false" ht="24.05" hidden="false" customHeight="false" outlineLevel="0" collapsed="false">
      <c r="A26" s="1" t="s">
        <v>13</v>
      </c>
      <c r="B26" s="1" t="s">
        <v>118</v>
      </c>
      <c r="C26" s="1" t="s">
        <v>119</v>
      </c>
      <c r="D26" s="1" t="s">
        <v>120</v>
      </c>
      <c r="E26" s="4" t="n">
        <f aca="false">19</f>
        <v>19</v>
      </c>
      <c r="F26" s="1" t="s">
        <v>17</v>
      </c>
      <c r="G26" s="1" t="s">
        <v>18</v>
      </c>
      <c r="H26" s="1" t="s">
        <v>19</v>
      </c>
      <c r="I26" s="1" t="s">
        <v>121</v>
      </c>
      <c r="J26" s="1" t="s">
        <v>21</v>
      </c>
      <c r="K26" s="1" t="s">
        <v>22</v>
      </c>
      <c r="L26" s="1" t="s">
        <v>23</v>
      </c>
      <c r="M26" s="2" t="s">
        <v>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customFormat="false" ht="24.05" hidden="false" customHeight="false" outlineLevel="0" collapsed="false">
      <c r="A27" s="1" t="s">
        <v>13</v>
      </c>
      <c r="B27" s="1" t="s">
        <v>122</v>
      </c>
      <c r="C27" s="1" t="s">
        <v>123</v>
      </c>
      <c r="D27" s="1" t="s">
        <v>124</v>
      </c>
      <c r="E27" s="4" t="n">
        <f aca="false">13</f>
        <v>13</v>
      </c>
      <c r="F27" s="1" t="s">
        <v>17</v>
      </c>
      <c r="G27" s="1" t="s">
        <v>18</v>
      </c>
      <c r="H27" s="1" t="s">
        <v>19</v>
      </c>
      <c r="I27" s="1" t="s">
        <v>125</v>
      </c>
      <c r="J27" s="1" t="s">
        <v>21</v>
      </c>
      <c r="K27" s="1" t="s">
        <v>22</v>
      </c>
      <c r="L27" s="1" t="s">
        <v>23</v>
      </c>
      <c r="M27" s="2" t="s">
        <v>24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customFormat="false" ht="24.05" hidden="false" customHeight="false" outlineLevel="0" collapsed="false">
      <c r="A28" s="1" t="s">
        <v>13</v>
      </c>
      <c r="B28" s="1" t="s">
        <v>126</v>
      </c>
      <c r="C28" s="1" t="s">
        <v>127</v>
      </c>
      <c r="D28" s="1" t="s">
        <v>128</v>
      </c>
      <c r="E28" s="4" t="n">
        <f aca="false">19</f>
        <v>19</v>
      </c>
      <c r="F28" s="1" t="s">
        <v>17</v>
      </c>
      <c r="G28" s="1" t="s">
        <v>18</v>
      </c>
      <c r="H28" s="1" t="s">
        <v>19</v>
      </c>
      <c r="I28" s="1" t="s">
        <v>129</v>
      </c>
      <c r="J28" s="1" t="s">
        <v>21</v>
      </c>
      <c r="K28" s="1" t="s">
        <v>22</v>
      </c>
      <c r="L28" s="1" t="s">
        <v>23</v>
      </c>
      <c r="M28" s="2" t="s">
        <v>24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customFormat="false" ht="24.05" hidden="false" customHeight="false" outlineLevel="0" collapsed="false">
      <c r="A29" s="1" t="s">
        <v>13</v>
      </c>
      <c r="B29" s="1" t="s">
        <v>130</v>
      </c>
      <c r="C29" s="1" t="s">
        <v>131</v>
      </c>
      <c r="D29" s="1" t="s">
        <v>132</v>
      </c>
      <c r="E29" s="4" t="n">
        <f aca="false">19</f>
        <v>19</v>
      </c>
      <c r="F29" s="1" t="s">
        <v>17</v>
      </c>
      <c r="G29" s="1" t="s">
        <v>18</v>
      </c>
      <c r="H29" s="1" t="s">
        <v>19</v>
      </c>
      <c r="I29" s="1" t="s">
        <v>133</v>
      </c>
      <c r="J29" s="1" t="s">
        <v>21</v>
      </c>
      <c r="K29" s="1" t="s">
        <v>22</v>
      </c>
      <c r="L29" s="1" t="s">
        <v>23</v>
      </c>
      <c r="M29" s="2" t="s">
        <v>24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</sheetData>
  <sheetProtection sheet="true" objects="true" scenarios="true"/>
  <mergeCells count="1">
    <mergeCell ref="A30:N3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2024-12-12T16:45:47Z</dcterms:created>
  <dc:creator/>
  <dc:description/>
  <dc:language>en-GB</dc:language>
  <cp:lastModifiedBy/>
  <dcterms:modified xsi:type="dcterms:W3CDTF">2025-02-01T11:26:12Z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